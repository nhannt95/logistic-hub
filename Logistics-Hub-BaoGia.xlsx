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g\Downloads\"/>
    </mc:Choice>
  </mc:AlternateContent>
  <xr:revisionPtr revIDLastSave="0" documentId="13_ncr:1_{8AB6C289-BC3C-48F4-88D1-584E9D93F783}" xr6:coauthVersionLast="47" xr6:coauthVersionMax="47" xr10:uidLastSave="{00000000-0000-0000-0000-000000000000}"/>
  <bookViews>
    <workbookView xWindow="-120" yWindow="-120" windowWidth="29040" windowHeight="15840" xr2:uid="{984CBE78-A410-429B-BC52-21CFE8208308}"/>
  </bookViews>
  <sheets>
    <sheet name="Tổng Quan" sheetId="1" r:id="rId1"/>
    <sheet name="Chi Tiết Báo Giá" sheetId="2" r:id="rId2"/>
    <sheet name="Phân Pha Triển Khai" sheetId="3" r:id="rId3"/>
    <sheet name="Điều Khoản &amp; Giả Định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2" l="1"/>
  <c r="D21" i="1"/>
  <c r="D20" i="1"/>
  <c r="D19" i="1"/>
  <c r="D18" i="1"/>
  <c r="D17" i="1"/>
  <c r="D16" i="1"/>
  <c r="C23" i="1"/>
  <c r="C24" i="1" s="1"/>
  <c r="E34" i="2" l="1"/>
  <c r="E35" i="2" s="1"/>
</calcChain>
</file>

<file path=xl/sharedStrings.xml><?xml version="1.0" encoding="utf-8"?>
<sst xmlns="http://schemas.openxmlformats.org/spreadsheetml/2006/main" count="266" uniqueCount="187">
  <si>
    <t>BÁO GIÁ DỰ ÁN: LOGISTICS-HUB</t>
  </si>
  <si>
    <t>Hệ thống quản lý vận chuyển Container</t>
  </si>
  <si>
    <t>THÔNG TIN DỰ ÁN</t>
  </si>
  <si>
    <t>Tên dự án</t>
  </si>
  <si>
    <t>Logistics-Hub - Quản lý vận chuyển Container</t>
  </si>
  <si>
    <t>Phạm vi</t>
  </si>
  <si>
    <t>Web Application (Responsive cho desktop &amp; mobile browser)</t>
  </si>
  <si>
    <t>Số module</t>
  </si>
  <si>
    <t>6 module nghiệp vụ</t>
  </si>
  <si>
    <t>Người dùng</t>
  </si>
  <si>
    <t>Điều Độ / Tài Xế / Kế Toán / Giám Đốc</t>
  </si>
  <si>
    <t>Timeline</t>
  </si>
  <si>
    <t>Bảo hành</t>
  </si>
  <si>
    <t>03 tháng kể từ ngày nghiệm thu</t>
  </si>
  <si>
    <t>Ngày báo giá</t>
  </si>
  <si>
    <t>CHI PHÍ THEO MODULE</t>
  </si>
  <si>
    <t>STT</t>
  </si>
  <si>
    <t>Module</t>
  </si>
  <si>
    <t>Chi phí (VND)</t>
  </si>
  <si>
    <t>Tỷ trọng</t>
  </si>
  <si>
    <t>Quản Lý User &amp; Phân quyền</t>
  </si>
  <si>
    <t>Quy Trình Điều Độ</t>
  </si>
  <si>
    <t>Quy Trình Tài Xế (Web responsive)</t>
  </si>
  <si>
    <t>Quy Trình Kế Toán</t>
  </si>
  <si>
    <t>Tổng Quan &amp; Dashboard</t>
  </si>
  <si>
    <t>Báo Cáo</t>
  </si>
  <si>
    <t>Tổng chi phí phát triển</t>
  </si>
  <si>
    <t>VAT 8%</t>
  </si>
  <si>
    <t>TỔNG CỘNG (đã gồm VAT 8%)</t>
  </si>
  <si>
    <t>Ghi chú:</t>
  </si>
  <si>
    <t>• Chi phí mỗi module đã bao gồm: phân tích, thiết kế, lập trình, kiểm thử, triển khai và bàn giao</t>
  </si>
  <si>
    <t>• Nếu phát sinh tính năng mới ngoài file scope: báo giá Change Request riêng</t>
  </si>
  <si>
    <t>BÁO GIÁ CHI TIẾT TÍNH NĂNG</t>
  </si>
  <si>
    <t>Tính năng</t>
  </si>
  <si>
    <t>Mô tả công việc</t>
  </si>
  <si>
    <t>Đăng ký - Đăng nhập - Quên MK</t>
  </si>
  <si>
    <t>Form đăng ký, login JWT, reset password qua email/SMS, captcha</t>
  </si>
  <si>
    <t>CRUD User + Profile</t>
  </si>
  <si>
    <t>Danh sách user, thêm/sửa/khóa user, đổi mật khẩu, upload avatar</t>
  </si>
  <si>
    <t>Phân quyền 4 roles</t>
  </si>
  <si>
    <t>Cấu hình ma trận quyền cho Điều Độ/Tài Xế/Kế Toán/Giám Đốc, middleware</t>
  </si>
  <si>
    <t>Khôi phục tài khoản</t>
  </si>
  <si>
    <t>Khôi phục user bị khóa, audit log thao tác user</t>
  </si>
  <si>
    <t>Quản lý kế hoạch (List + CRUD)</t>
  </si>
  <si>
    <t>Danh sách kế hoạch + filter + tìm kiếm + phân trang, thêm/sửa/xóa</t>
  </si>
  <si>
    <t>Thêm kế hoạch theo mẫu (Import)</t>
  </si>
  <si>
    <t>Import Excel theo template chuẩn, validate dữ liệu, batch tạo lệnh</t>
  </si>
  <si>
    <t>Lịch Tổng Quan (Calendar)</t>
  </si>
  <si>
    <t>View tuần/tháng, click ngày xem chi tiết, drag-drop reschedule</t>
  </si>
  <si>
    <t>Đánh giá tình trạng Cont</t>
  </si>
  <si>
    <t>Nhận thông tin ngoại quan từ tài xế (ảnh + mô tả), workflow review</t>
  </si>
  <si>
    <t>Đưa ra phương án xử lý + Chi phí</t>
  </si>
  <si>
    <t>Catalog phương án, chọn phương án, ước tính chi phí, ghi nhận quyết định</t>
  </si>
  <si>
    <t>Thông báo tài xế</t>
  </si>
  <si>
    <t>Push notification (web) + email/SMS khi có phương án mới</t>
  </si>
  <si>
    <t>Quản lý chi phí vận hành Cont</t>
  </si>
  <si>
    <t>Neo cont, nâng hạ, lưu bãi - nhập chi phí, alert khi sắp hết free-time</t>
  </si>
  <si>
    <t>Quản lý Xe + Mooc + Tài xế</t>
  </si>
  <si>
    <t>CRUD đầu xe, rơ-mooc, tài xế. Bảng tổng hợp trạng thái (rảnh/đang chạy)</t>
  </si>
  <si>
    <t>Điều phối tài xế lấy Cont</t>
  </si>
  <si>
    <t>Assign tài xế cho lệnh, kiểm tra conflict lịch, gửi thông báo</t>
  </si>
  <si>
    <t>Trạng thái xe + Lịch sử sửa chữa</t>
  </si>
  <si>
    <t>Theo dõi tình trạng xe, lịch sử sửa chữa, chi phí bảo trì theo xe</t>
  </si>
  <si>
    <t>Quy Trình Tài Xế (Web)</t>
  </si>
  <si>
    <t>Chi tiết công việc được giao</t>
  </si>
  <si>
    <t>Web responsive - màn list job + detail job với đầy đủ thông tin lệnh</t>
  </si>
  <si>
    <t>Xác nhận thông tin Cont</t>
  </si>
  <si>
    <t>Tài xế confirm hoặc báo sai số cont/seal/loại cont</t>
  </si>
  <si>
    <t>Cập nhật trạng thái vận hành</t>
  </si>
  <si>
    <t>Cập nhật trạng thái: đã lấy cont, đang giao, đã hạ, hoàn thành</t>
  </si>
  <si>
    <t>Upload chứng từ + ảnh</t>
  </si>
  <si>
    <t>Upload nhiều ảnh (EIR, seal, hóa đơn), nén ảnh, lưu cloud storage</t>
  </si>
  <si>
    <t>Tổng hợp/Chi tiết KH vận Cont</t>
  </si>
  <si>
    <t>Màn tổng hợp doanh thu + chi phí theo kế hoạch, drilldown chi tiết</t>
  </si>
  <si>
    <t>Chỉnh sửa chi phí + Đối chiếu</t>
  </si>
  <si>
    <t>Sửa chi phí thực tế từ chứng từ, đối chiếu dự toán, ghi chú lý do</t>
  </si>
  <si>
    <t>Cảnh báo chi phí vượt ngưỡng</t>
  </si>
  <si>
    <t>Cấu hình ngưỡng theo loại phí, auto-alert email + on-screen</t>
  </si>
  <si>
    <t>Export báo cáo kế toán</t>
  </si>
  <si>
    <t>Export Excel báo cáo công nợ, chi phí, doanh thu theo kỳ</t>
  </si>
  <si>
    <t>Dashboard vận đơn (đa kỳ)</t>
  </si>
  <si>
    <t>Biểu đồ ngày/tuần/tháng/quý/năm - số chuyến, doanh thu, KH</t>
  </si>
  <si>
    <t>Dashboard hiệu suất tài xế</t>
  </si>
  <si>
    <t>Top tài xế, số chuyến, đúng giờ, doanh thu mang về theo kỳ</t>
  </si>
  <si>
    <t>Dashboard chi phí Cont</t>
  </si>
  <si>
    <t>Biểu đồ chi phí theo loại (neo, nâng hạ, lưu bãi) theo kỳ</t>
  </si>
  <si>
    <t>Dashboard chi phí bảo trì xe</t>
  </si>
  <si>
    <t>Chi phí sửa chữa, bảo dưỡng theo xe và theo kỳ</t>
  </si>
  <si>
    <t>Filter + Drilldown chung</t>
  </si>
  <si>
    <t>Bộ filter chung (thời gian, KH, tài xế, xe) áp dụng cho tất cả dashboard</t>
  </si>
  <si>
    <t>Màn báo cáo chi tiết</t>
  </si>
  <si>
    <t>Các màn báo cáo chi tiết cho từng hạng mục trong Tổng quan</t>
  </si>
  <si>
    <t>Export Excel (đa template)</t>
  </si>
  <si>
    <t>Engine export Excel với 4-5 template báo cáo chuẩn</t>
  </si>
  <si>
    <t>PHÂN PHA TRIỂN KHAI</t>
  </si>
  <si>
    <t>Phase</t>
  </si>
  <si>
    <t>Tuần</t>
  </si>
  <si>
    <t>Hạng mục</t>
  </si>
  <si>
    <t>Deliverable</t>
  </si>
  <si>
    <t>Thanh toán</t>
  </si>
  <si>
    <t>Phase 0</t>
  </si>
  <si>
    <t>Tuần 1</t>
  </si>
  <si>
    <t>Khởi động - Discovery &amp; Setup</t>
  </si>
  <si>
    <t>- Phỏng vấn nghiệp vụ chi tiết
- Thiết kế DB + ERD
- API spec (OpenAPI)
- Wireframe các màn quan trọng
- Setup repo, CI/CD, server dev</t>
  </si>
  <si>
    <t>20% (Tạm ứng)</t>
  </si>
  <si>
    <t>Phase 1</t>
  </si>
  <si>
    <t>Tuần 2-3</t>
  </si>
  <si>
    <t>Module 1 (User) + Module 2 phần A (Kế hoạch)</t>
  </si>
  <si>
    <t>- Auth + Phân quyền 4 roles
- CRUD kế hoạch + Lịch Tổng Quan
- Import Excel kế hoạch theo mẫu</t>
  </si>
  <si>
    <t>—</t>
  </si>
  <si>
    <t>Phase 2</t>
  </si>
  <si>
    <t>Tuần 4-5</t>
  </si>
  <si>
    <t>Module 2 phần B (Cont + Xe + Tài xế)</t>
  </si>
  <si>
    <t>- Đánh giá tình trạng Cont + Phương án xử lý
- Quản lý chi phí vận hành cont
- Quản lý xe/mooc/tài xế + điều phối</t>
  </si>
  <si>
    <t>30% (Sau Phase 2)</t>
  </si>
  <si>
    <t>Phase 3</t>
  </si>
  <si>
    <t>Tuần 6-7</t>
  </si>
  <si>
    <t>Module 3 (Tài Xế) + Module 4 (Kế Toán)</t>
  </si>
  <si>
    <t>- Màn công việc + upload chứng từ
- Tổng hợp kế hoạch + chi phí
- Alert chi phí vượt ngưỡng</t>
  </si>
  <si>
    <t>Phase 4</t>
  </si>
  <si>
    <t>Tuần 8</t>
  </si>
  <si>
    <t>Module 5 + 6 (Dashboard + Báo Cáo)</t>
  </si>
  <si>
    <t>- Dashboard 4 nhóm chỉ số
- Báo cáo chi tiết + export Excel
- Filter chung</t>
  </si>
  <si>
    <t>30% (Sau Phase 4)</t>
  </si>
  <si>
    <t>Phase 5</t>
  </si>
  <si>
    <t>Tuần 9</t>
  </si>
  <si>
    <t>UAT + Tinh chỉnh</t>
  </si>
  <si>
    <t>- UAT toàn hệ thống
- Sửa lỗi + tinh chỉnh UX
- Test tải cơ bản</t>
  </si>
  <si>
    <t>Phase 6</t>
  </si>
  <si>
    <t>Tuần 10</t>
  </si>
  <si>
    <t>Go-live + Đào tạo + Bàn giao</t>
  </si>
  <si>
    <t>- Deploy production
- Đào tạo 4 role (2 buổi)
- Tài liệu HDSD + video
- Handover source code</t>
  </si>
  <si>
    <t>20% (Nghiệm thu)</t>
  </si>
  <si>
    <t>* Tổng 4 đợt thanh toán: 20% Tạm ứng | 30% Sau Phase 2 | 30% Sau Phase 4 | 20% Nghiệm thu</t>
  </si>
  <si>
    <t>ĐIỀU KHOẢN, GIẢ ĐỊNH &amp; PHẠM VI</t>
  </si>
  <si>
    <t>1. PHẠM VI BAO GỒM (IN-SCOPE)</t>
  </si>
  <si>
    <t>•</t>
  </si>
  <si>
    <t>Web Application responsive (chạy được trên desktop và mobile browser)</t>
  </si>
  <si>
    <t>6 module nghiệp vụ theo file tính năng đã thống nhất</t>
  </si>
  <si>
    <t>Phân quyền 4 role: Điều Độ / Tài Xế / Kế Toán / Giám Đốc</t>
  </si>
  <si>
    <t>Phân tích nghiệp vụ + thiết kế hệ thống + UI/UX cơ bản</t>
  </si>
  <si>
    <t>Kiểm thử (QA) toàn bộ hệ thống + hỗ trợ UAT</t>
  </si>
  <si>
    <t>Quản lý dự án xuyên suốt + báo cáo tiến độ</t>
  </si>
  <si>
    <t>Deploy production lên cloud (AWS/GCP/Vultr/VPS tùy chọn)</t>
  </si>
  <si>
    <t>Đào tạo 2 buổi cho 4 nhóm role</t>
  </si>
  <si>
    <t>Tài liệu hướng dẫn sử dụng (HDSD) bản PDF + video</t>
  </si>
  <si>
    <t>Source code + handover toàn bộ</t>
  </si>
  <si>
    <t>Bảo hành 03 tháng (fix bug sau nghiệm thu)</t>
  </si>
  <si>
    <t>2. KHÔNG BAO GỒM (OUT-OF-SCOPE)</t>
  </si>
  <si>
    <t>Mobile App native (iOS/Android) - chỉ web responsive</t>
  </si>
  <si>
    <t>Tích hợp GPS thiết bị giám sát hành trình</t>
  </si>
  <si>
    <t>OCR đọc chứng từ điện tử (E-port)</t>
  </si>
  <si>
    <t>Tích hợp hóa đơn điện tử (e-Invoice) - báo giá riêng nếu cần</t>
  </si>
  <si>
    <t>Tích hợp ERP/Kế toán Misa, Fast - báo giá riêng</t>
  </si>
  <si>
    <t>Customer Portal cho khách hàng</t>
  </si>
  <si>
    <t>AI/ML: dự báo, tối ưu tuyến đường</t>
  </si>
  <si>
    <t>Chi phí hạ tầng cloud (server, domain, SMS gateway, push service)</t>
  </si>
  <si>
    <t>Bản quyền phần mềm bên thứ 3 (Maps API, SMS, e-Invoice…)</t>
  </si>
  <si>
    <t>3. GIẢ ĐỊNH</t>
  </si>
  <si>
    <t>Khách hàng cung cấp đầy đủ template Excel kế hoạch hiện tại</t>
  </si>
  <si>
    <t>Khách hàng cử 1 đầu mối nghiệp vụ tham gia họp tuần và UAT</t>
  </si>
  <si>
    <t>Phản hồi nghiệm thu trong 3 ngày làm việc - chậm sẽ dời timeline tương ứng</t>
  </si>
  <si>
    <t>Số user đồng thời (concurrent): tối đa 50 user</t>
  </si>
  <si>
    <t>Database: PostgreSQL hoặc MySQL trên cloud</t>
  </si>
  <si>
    <t>Browser hỗ trợ: Chrome, Edge, Safari (2 năm gần nhất)</t>
  </si>
  <si>
    <t>Ngôn ngữ giao diện: Tiếng Việt (Tiếng Anh là extension - báo giá thêm)</t>
  </si>
  <si>
    <t>4. ĐIỀU KHOẢN THANH TOÁN</t>
  </si>
  <si>
    <t>Đợt 1 (20%): Khi ký hợp đồng - Tạm ứng</t>
  </si>
  <si>
    <t>Đợt 2 (30%): Sau nghiệm thu Phase 2 (Module Điều Độ hoàn thành)</t>
  </si>
  <si>
    <t>Đợt 3 (30%): Sau nghiệm thu Phase 4 (Module Dashboard hoàn thành)</t>
  </si>
  <si>
    <t>Đợt 4 (20%): Sau nghiệm thu cuối + bàn giao chính thức</t>
  </si>
  <si>
    <t>Đơn vị tiền: VND. Đã bao gồm VAT 8%.</t>
  </si>
  <si>
    <t>Hình thức: Chuyển khoản ngân hàng</t>
  </si>
  <si>
    <t>5. BẢO HÀNH &amp; SAU BẢO HÀNH</t>
  </si>
  <si>
    <t>Bảo hành 03 tháng kể từ ngày nghiệm thu chính thức</t>
  </si>
  <si>
    <t>Trong bảo hành: fix bug miễn phí, hỗ trợ qua email/Zalo trong giờ hành chính</t>
  </si>
  <si>
    <t>Bảo hành KHÔNG bao gồm: thêm tính năng mới, dữ liệu sai do user nhập</t>
  </si>
  <si>
    <t>Sau bảo hành: gói maintenance ~15-20% giá trị hợp đồng/năm (báo giá riêng)</t>
  </si>
  <si>
    <t>SLA bảo hành: phản hồi 8h làm việc, fix bug critical trong 24h</t>
  </si>
  <si>
    <t>6. NGÂN SÁCH &amp; ĐIỀU CHỈNH</t>
  </si>
  <si>
    <t>Tổng chi phí phát triển: 160 triệu VND</t>
  </si>
  <si>
    <t>Tổng đã VAT 8%: ~172.8 triệu VND (trong trần ngân sách 180 triệu)</t>
  </si>
  <si>
    <t>Nếu phát sinh tính năng mới ngoài file scope: báo giá Change Request riêng</t>
  </si>
  <si>
    <t>Nếu thay đổi nghiệp vụ lớn (&gt;20% scope đã chốt): re-estimate giá</t>
  </si>
  <si>
    <t>Nếu yêu cầu thêm Mobile App native: +25-35 triệu VND</t>
  </si>
  <si>
    <t>Nếu cần tích hợp bên thứ 3 (e-Invoice, GPS, Maps): báo giá theo tích hợp</t>
  </si>
  <si>
    <t>4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</si>
</sst>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202B2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rgb="FF202B2D"/>
      <name val="Calibri"/>
      <family val="2"/>
      <scheme val="minor"/>
    </font>
    <font>
      <i/>
      <sz val="11"/>
      <color rgb="FF202B2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02B2D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1" fillId="0" borderId="0" xfId="0" applyFont="1"/>
    <xf numFmtId="0" fontId="5" fillId="3" borderId="1" xfId="0" applyFont="1" applyFill="1" applyBorder="1" applyAlignment="1">
      <alignment horizontal="center" vertical="center"/>
    </xf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1" fillId="3" borderId="0" xfId="0" applyFont="1" applyFill="1"/>
    <xf numFmtId="3" fontId="1" fillId="3" borderId="0" xfId="0" applyNumberFormat="1" applyFont="1" applyFill="1"/>
    <xf numFmtId="0" fontId="6" fillId="4" borderId="0" xfId="0" applyFont="1" applyFill="1"/>
    <xf numFmtId="3" fontId="6" fillId="4" borderId="0" xfId="0" applyNumberFormat="1" applyFont="1" applyFill="1"/>
    <xf numFmtId="164" fontId="0" fillId="0" borderId="1" xfId="0" applyNumberFormat="1" applyBorder="1"/>
    <xf numFmtId="0" fontId="7" fillId="0" borderId="0" xfId="0" applyFont="1"/>
    <xf numFmtId="0" fontId="3" fillId="0" borderId="0" xfId="0" applyFont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3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3" fontId="1" fillId="3" borderId="0" xfId="0" applyNumberFormat="1" applyFont="1" applyFill="1" applyAlignment="1">
      <alignment wrapText="1"/>
    </xf>
    <xf numFmtId="3" fontId="0" fillId="0" borderId="0" xfId="0" applyNumberFormat="1" applyAlignment="1">
      <alignment wrapText="1"/>
    </xf>
    <xf numFmtId="0" fontId="6" fillId="4" borderId="0" xfId="0" applyFont="1" applyFill="1" applyAlignment="1">
      <alignment wrapText="1"/>
    </xf>
    <xf numFmtId="3" fontId="6" fillId="4" borderId="0" xfId="0" applyNumberFormat="1" applyFont="1" applyFill="1" applyAlignment="1">
      <alignment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0" fontId="8" fillId="0" borderId="0" xfId="0" applyFont="1" applyAlignment="1">
      <alignment horizontal="center"/>
    </xf>
    <xf numFmtId="0" fontId="9" fillId="0" borderId="0" xfId="0" applyFont="1"/>
    <xf numFmtId="0" fontId="4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C0CFD-FFDA-4032-829B-B744503B46E2}">
  <dimension ref="A1:D28"/>
  <sheetViews>
    <sheetView tabSelected="1" workbookViewId="0">
      <selection activeCell="C31" sqref="C31"/>
    </sheetView>
  </sheetViews>
  <sheetFormatPr defaultRowHeight="15" x14ac:dyDescent="0.25"/>
  <cols>
    <col min="1" max="1" width="15.42578125" customWidth="1"/>
    <col min="2" max="2" width="45.7109375" customWidth="1"/>
    <col min="3" max="3" width="22.7109375" customWidth="1"/>
    <col min="4" max="4" width="12.7109375" customWidth="1"/>
  </cols>
  <sheetData>
    <row r="1" spans="1:4" ht="23.25" x14ac:dyDescent="0.35">
      <c r="A1" s="28" t="s">
        <v>0</v>
      </c>
      <c r="B1" s="28"/>
      <c r="C1" s="28"/>
      <c r="D1" s="28"/>
    </row>
    <row r="2" spans="1:4" x14ac:dyDescent="0.25">
      <c r="A2" s="29" t="s">
        <v>1</v>
      </c>
      <c r="B2" s="29"/>
      <c r="C2" s="29"/>
      <c r="D2" s="29"/>
    </row>
    <row r="4" spans="1:4" x14ac:dyDescent="0.25">
      <c r="A4" s="27" t="s">
        <v>2</v>
      </c>
      <c r="B4" s="27"/>
      <c r="C4" s="27"/>
      <c r="D4" s="27"/>
    </row>
    <row r="5" spans="1:4" x14ac:dyDescent="0.25">
      <c r="A5" s="2" t="s">
        <v>3</v>
      </c>
      <c r="B5" s="30" t="s">
        <v>4</v>
      </c>
      <c r="C5" s="30"/>
      <c r="D5" s="30"/>
    </row>
    <row r="6" spans="1:4" x14ac:dyDescent="0.25">
      <c r="A6" s="2" t="s">
        <v>5</v>
      </c>
      <c r="B6" s="25" t="s">
        <v>6</v>
      </c>
      <c r="C6" s="25"/>
      <c r="D6" s="25"/>
    </row>
    <row r="7" spans="1:4" x14ac:dyDescent="0.25">
      <c r="A7" s="2" t="s">
        <v>7</v>
      </c>
      <c r="B7" s="25" t="s">
        <v>8</v>
      </c>
      <c r="C7" s="25"/>
      <c r="D7" s="25"/>
    </row>
    <row r="8" spans="1:4" x14ac:dyDescent="0.25">
      <c r="A8" s="2" t="s">
        <v>9</v>
      </c>
      <c r="B8" s="25" t="s">
        <v>10</v>
      </c>
      <c r="C8" s="25"/>
      <c r="D8" s="25"/>
    </row>
    <row r="9" spans="1:4" x14ac:dyDescent="0.25">
      <c r="A9" s="2" t="s">
        <v>11</v>
      </c>
      <c r="B9" s="25" t="s">
        <v>186</v>
      </c>
      <c r="C9" s="25"/>
      <c r="D9" s="25"/>
    </row>
    <row r="10" spans="1:4" x14ac:dyDescent="0.25">
      <c r="A10" s="2" t="s">
        <v>12</v>
      </c>
      <c r="B10" s="25" t="s">
        <v>13</v>
      </c>
      <c r="C10" s="25"/>
      <c r="D10" s="25"/>
    </row>
    <row r="11" spans="1:4" x14ac:dyDescent="0.25">
      <c r="A11" s="2" t="s">
        <v>14</v>
      </c>
      <c r="B11" s="26">
        <v>46331</v>
      </c>
      <c r="C11" s="25"/>
      <c r="D11" s="25"/>
    </row>
    <row r="14" spans="1:4" x14ac:dyDescent="0.25">
      <c r="A14" s="27" t="s">
        <v>15</v>
      </c>
      <c r="B14" s="27"/>
      <c r="C14" s="27"/>
      <c r="D14" s="27"/>
    </row>
    <row r="15" spans="1:4" x14ac:dyDescent="0.25">
      <c r="A15" s="3" t="s">
        <v>16</v>
      </c>
      <c r="B15" s="3" t="s">
        <v>17</v>
      </c>
      <c r="C15" s="3" t="s">
        <v>18</v>
      </c>
      <c r="D15" s="3" t="s">
        <v>19</v>
      </c>
    </row>
    <row r="16" spans="1:4" x14ac:dyDescent="0.25">
      <c r="A16" s="5">
        <v>1</v>
      </c>
      <c r="B16" s="5" t="s">
        <v>20</v>
      </c>
      <c r="C16" s="6">
        <v>10000000</v>
      </c>
      <c r="D16" s="11">
        <f>C16/C22</f>
        <v>5.8823529411764705E-2</v>
      </c>
    </row>
    <row r="17" spans="1:4" x14ac:dyDescent="0.25">
      <c r="A17" s="5">
        <v>2</v>
      </c>
      <c r="B17" s="5" t="s">
        <v>21</v>
      </c>
      <c r="C17" s="6">
        <v>74000000</v>
      </c>
      <c r="D17" s="11">
        <f>C17/C22</f>
        <v>0.43529411764705883</v>
      </c>
    </row>
    <row r="18" spans="1:4" x14ac:dyDescent="0.25">
      <c r="A18" s="5">
        <v>3</v>
      </c>
      <c r="B18" s="5" t="s">
        <v>22</v>
      </c>
      <c r="C18" s="6">
        <v>20000000</v>
      </c>
      <c r="D18" s="11">
        <f>C18/C22</f>
        <v>0.11764705882352941</v>
      </c>
    </row>
    <row r="19" spans="1:4" x14ac:dyDescent="0.25">
      <c r="A19" s="5">
        <v>4</v>
      </c>
      <c r="B19" s="5" t="s">
        <v>23</v>
      </c>
      <c r="C19" s="6">
        <v>20000000</v>
      </c>
      <c r="D19" s="11">
        <f>C19/C22</f>
        <v>0.11764705882352941</v>
      </c>
    </row>
    <row r="20" spans="1:4" x14ac:dyDescent="0.25">
      <c r="A20" s="5">
        <v>5</v>
      </c>
      <c r="B20" s="5" t="s">
        <v>24</v>
      </c>
      <c r="C20" s="6">
        <v>31000000</v>
      </c>
      <c r="D20" s="11">
        <f>C20/C22</f>
        <v>0.18235294117647058</v>
      </c>
    </row>
    <row r="21" spans="1:4" x14ac:dyDescent="0.25">
      <c r="A21" s="5">
        <v>6</v>
      </c>
      <c r="B21" s="5" t="s">
        <v>25</v>
      </c>
      <c r="C21" s="6">
        <v>15000000</v>
      </c>
      <c r="D21" s="11">
        <f>C21/C22</f>
        <v>8.8235294117647065E-2</v>
      </c>
    </row>
    <row r="22" spans="1:4" x14ac:dyDescent="0.25">
      <c r="A22" s="7"/>
      <c r="B22" s="7" t="s">
        <v>26</v>
      </c>
      <c r="C22" s="8">
        <v>170000000</v>
      </c>
      <c r="D22" s="7"/>
    </row>
    <row r="23" spans="1:4" x14ac:dyDescent="0.25">
      <c r="B23" t="s">
        <v>27</v>
      </c>
      <c r="C23" s="4">
        <f>C22*0.08</f>
        <v>13600000</v>
      </c>
    </row>
    <row r="24" spans="1:4" ht="17.25" x14ac:dyDescent="0.3">
      <c r="A24" s="9"/>
      <c r="B24" s="9" t="s">
        <v>28</v>
      </c>
      <c r="C24" s="10">
        <f>C22+C23</f>
        <v>183600000</v>
      </c>
      <c r="D24" s="9"/>
    </row>
    <row r="26" spans="1:4" x14ac:dyDescent="0.25">
      <c r="A26" s="12" t="s">
        <v>29</v>
      </c>
      <c r="B26" s="13"/>
      <c r="C26" s="13"/>
      <c r="D26" s="13"/>
    </row>
    <row r="27" spans="1:4" x14ac:dyDescent="0.25">
      <c r="A27" s="13" t="s">
        <v>30</v>
      </c>
      <c r="B27" s="13"/>
      <c r="C27" s="13"/>
      <c r="D27" s="13"/>
    </row>
    <row r="28" spans="1:4" x14ac:dyDescent="0.25">
      <c r="A28" s="13" t="s">
        <v>31</v>
      </c>
      <c r="B28" s="13"/>
      <c r="C28" s="13"/>
      <c r="D28" s="13"/>
    </row>
  </sheetData>
  <mergeCells count="11">
    <mergeCell ref="B7:D7"/>
    <mergeCell ref="A1:D1"/>
    <mergeCell ref="A2:D2"/>
    <mergeCell ref="A4:D4"/>
    <mergeCell ref="B5:D5"/>
    <mergeCell ref="B6:D6"/>
    <mergeCell ref="B8:D8"/>
    <mergeCell ref="B9:D9"/>
    <mergeCell ref="B10:D10"/>
    <mergeCell ref="B11:D11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D485-D0B9-4FCA-A4A8-9FA7F3808E62}">
  <dimension ref="A1:E35"/>
  <sheetViews>
    <sheetView topLeftCell="A4" workbookViewId="0">
      <selection activeCell="E28" sqref="E28"/>
    </sheetView>
  </sheetViews>
  <sheetFormatPr defaultRowHeight="15" x14ac:dyDescent="0.25"/>
  <cols>
    <col min="1" max="1" width="7.7109375" customWidth="1"/>
    <col min="2" max="2" width="30.7109375" customWidth="1"/>
    <col min="3" max="3" width="35.7109375" customWidth="1"/>
    <col min="4" max="4" width="60.7109375" customWidth="1"/>
    <col min="5" max="5" width="18.7109375" customWidth="1"/>
  </cols>
  <sheetData>
    <row r="1" spans="1:5" ht="21" x14ac:dyDescent="0.35">
      <c r="A1" s="31" t="s">
        <v>32</v>
      </c>
      <c r="B1" s="31"/>
      <c r="C1" s="31"/>
      <c r="D1" s="31"/>
      <c r="E1" s="31"/>
    </row>
    <row r="3" spans="1:5" x14ac:dyDescent="0.25">
      <c r="A3" s="1" t="s">
        <v>16</v>
      </c>
      <c r="B3" s="1" t="s">
        <v>17</v>
      </c>
      <c r="C3" s="1" t="s">
        <v>33</v>
      </c>
      <c r="D3" s="1" t="s">
        <v>34</v>
      </c>
      <c r="E3" s="1" t="s">
        <v>18</v>
      </c>
    </row>
    <row r="4" spans="1:5" s="17" customFormat="1" ht="30" customHeight="1" x14ac:dyDescent="0.25">
      <c r="A4" s="14">
        <v>1.1000000000000001</v>
      </c>
      <c r="B4" s="15" t="s">
        <v>20</v>
      </c>
      <c r="C4" s="14" t="s">
        <v>35</v>
      </c>
      <c r="D4" s="14" t="s">
        <v>36</v>
      </c>
      <c r="E4" s="16">
        <v>4000000</v>
      </c>
    </row>
    <row r="5" spans="1:5" s="17" customFormat="1" ht="30" customHeight="1" x14ac:dyDescent="0.25">
      <c r="A5" s="14">
        <v>1.2</v>
      </c>
      <c r="B5" s="14" t="s">
        <v>20</v>
      </c>
      <c r="C5" s="14" t="s">
        <v>37</v>
      </c>
      <c r="D5" s="14" t="s">
        <v>38</v>
      </c>
      <c r="E5" s="16">
        <v>2000000</v>
      </c>
    </row>
    <row r="6" spans="1:5" s="17" customFormat="1" ht="30" customHeight="1" x14ac:dyDescent="0.25">
      <c r="A6" s="14">
        <v>1.3</v>
      </c>
      <c r="B6" s="14" t="s">
        <v>20</v>
      </c>
      <c r="C6" s="14" t="s">
        <v>39</v>
      </c>
      <c r="D6" s="14" t="s">
        <v>40</v>
      </c>
      <c r="E6" s="16">
        <v>2000000</v>
      </c>
    </row>
    <row r="7" spans="1:5" s="17" customFormat="1" ht="30" customHeight="1" x14ac:dyDescent="0.25">
      <c r="A7" s="14">
        <v>1.4</v>
      </c>
      <c r="B7" s="14" t="s">
        <v>20</v>
      </c>
      <c r="C7" s="14" t="s">
        <v>41</v>
      </c>
      <c r="D7" s="14" t="s">
        <v>42</v>
      </c>
      <c r="E7" s="16">
        <v>2000000</v>
      </c>
    </row>
    <row r="8" spans="1:5" s="17" customFormat="1" ht="30" customHeight="1" x14ac:dyDescent="0.25">
      <c r="A8" s="14">
        <v>2.1</v>
      </c>
      <c r="B8" s="15" t="s">
        <v>21</v>
      </c>
      <c r="C8" s="14" t="s">
        <v>43</v>
      </c>
      <c r="D8" s="14" t="s">
        <v>44</v>
      </c>
      <c r="E8" s="16">
        <v>11000000</v>
      </c>
    </row>
    <row r="9" spans="1:5" s="17" customFormat="1" ht="30" customHeight="1" x14ac:dyDescent="0.25">
      <c r="A9" s="14">
        <v>2.2000000000000002</v>
      </c>
      <c r="B9" s="14" t="s">
        <v>21</v>
      </c>
      <c r="C9" s="14" t="s">
        <v>45</v>
      </c>
      <c r="D9" s="14" t="s">
        <v>46</v>
      </c>
      <c r="E9" s="16">
        <v>5000000</v>
      </c>
    </row>
    <row r="10" spans="1:5" s="17" customFormat="1" ht="30" customHeight="1" x14ac:dyDescent="0.25">
      <c r="A10" s="14">
        <v>2.2999999999999998</v>
      </c>
      <c r="B10" s="14" t="s">
        <v>21</v>
      </c>
      <c r="C10" s="14" t="s">
        <v>47</v>
      </c>
      <c r="D10" s="14" t="s">
        <v>48</v>
      </c>
      <c r="E10" s="16">
        <v>8000000</v>
      </c>
    </row>
    <row r="11" spans="1:5" s="17" customFormat="1" ht="30" customHeight="1" x14ac:dyDescent="0.25">
      <c r="A11" s="14">
        <v>2.4</v>
      </c>
      <c r="B11" s="14" t="s">
        <v>21</v>
      </c>
      <c r="C11" s="14" t="s">
        <v>49</v>
      </c>
      <c r="D11" s="14" t="s">
        <v>50</v>
      </c>
      <c r="E11" s="16">
        <v>7000000</v>
      </c>
    </row>
    <row r="12" spans="1:5" s="17" customFormat="1" ht="30" customHeight="1" x14ac:dyDescent="0.25">
      <c r="A12" s="14">
        <v>2.5</v>
      </c>
      <c r="B12" s="14" t="s">
        <v>21</v>
      </c>
      <c r="C12" s="14" t="s">
        <v>51</v>
      </c>
      <c r="D12" s="14" t="s">
        <v>52</v>
      </c>
      <c r="E12" s="16">
        <v>9000000</v>
      </c>
    </row>
    <row r="13" spans="1:5" s="17" customFormat="1" ht="30" customHeight="1" x14ac:dyDescent="0.25">
      <c r="A13" s="14">
        <v>2.6</v>
      </c>
      <c r="B13" s="14" t="s">
        <v>21</v>
      </c>
      <c r="C13" s="14" t="s">
        <v>53</v>
      </c>
      <c r="D13" s="14" t="s">
        <v>54</v>
      </c>
      <c r="E13" s="16">
        <v>4000000</v>
      </c>
    </row>
    <row r="14" spans="1:5" s="17" customFormat="1" ht="30" customHeight="1" x14ac:dyDescent="0.25">
      <c r="A14" s="14">
        <v>2.7</v>
      </c>
      <c r="B14" s="14" t="s">
        <v>21</v>
      </c>
      <c r="C14" s="14" t="s">
        <v>55</v>
      </c>
      <c r="D14" s="14" t="s">
        <v>56</v>
      </c>
      <c r="E14" s="16">
        <v>7000000</v>
      </c>
    </row>
    <row r="15" spans="1:5" s="17" customFormat="1" ht="30" customHeight="1" x14ac:dyDescent="0.25">
      <c r="A15" s="14">
        <v>2.8</v>
      </c>
      <c r="B15" s="14" t="s">
        <v>21</v>
      </c>
      <c r="C15" s="14" t="s">
        <v>57</v>
      </c>
      <c r="D15" s="14" t="s">
        <v>58</v>
      </c>
      <c r="E15" s="16">
        <v>11000000</v>
      </c>
    </row>
    <row r="16" spans="1:5" s="17" customFormat="1" ht="30" customHeight="1" x14ac:dyDescent="0.25">
      <c r="A16" s="14">
        <v>2.9</v>
      </c>
      <c r="B16" s="14" t="s">
        <v>21</v>
      </c>
      <c r="C16" s="14" t="s">
        <v>59</v>
      </c>
      <c r="D16" s="14" t="s">
        <v>60</v>
      </c>
      <c r="E16" s="16">
        <v>7000000</v>
      </c>
    </row>
    <row r="17" spans="1:5" s="17" customFormat="1" ht="30" customHeight="1" x14ac:dyDescent="0.25">
      <c r="A17" s="14">
        <v>2.1</v>
      </c>
      <c r="B17" s="14" t="s">
        <v>21</v>
      </c>
      <c r="C17" s="14" t="s">
        <v>61</v>
      </c>
      <c r="D17" s="14" t="s">
        <v>62</v>
      </c>
      <c r="E17" s="16">
        <v>5000000</v>
      </c>
    </row>
    <row r="18" spans="1:5" s="17" customFormat="1" ht="30" customHeight="1" x14ac:dyDescent="0.25">
      <c r="A18" s="14">
        <v>3.1</v>
      </c>
      <c r="B18" s="15" t="s">
        <v>63</v>
      </c>
      <c r="C18" s="14" t="s">
        <v>64</v>
      </c>
      <c r="D18" s="14" t="s">
        <v>65</v>
      </c>
      <c r="E18" s="16">
        <v>6000000</v>
      </c>
    </row>
    <row r="19" spans="1:5" s="17" customFormat="1" ht="30" customHeight="1" x14ac:dyDescent="0.25">
      <c r="A19" s="14">
        <v>3.2</v>
      </c>
      <c r="B19" s="14" t="s">
        <v>63</v>
      </c>
      <c r="C19" s="14" t="s">
        <v>66</v>
      </c>
      <c r="D19" s="14" t="s">
        <v>67</v>
      </c>
      <c r="E19" s="16">
        <v>3000000</v>
      </c>
    </row>
    <row r="20" spans="1:5" s="17" customFormat="1" ht="30" customHeight="1" x14ac:dyDescent="0.25">
      <c r="A20" s="14">
        <v>3.3</v>
      </c>
      <c r="B20" s="14" t="s">
        <v>63</v>
      </c>
      <c r="C20" s="14" t="s">
        <v>68</v>
      </c>
      <c r="D20" s="14" t="s">
        <v>69</v>
      </c>
      <c r="E20" s="16">
        <v>4000000</v>
      </c>
    </row>
    <row r="21" spans="1:5" s="17" customFormat="1" ht="30" customHeight="1" x14ac:dyDescent="0.25">
      <c r="A21" s="14">
        <v>3.4</v>
      </c>
      <c r="B21" s="14" t="s">
        <v>63</v>
      </c>
      <c r="C21" s="14" t="s">
        <v>70</v>
      </c>
      <c r="D21" s="14" t="s">
        <v>71</v>
      </c>
      <c r="E21" s="16">
        <v>7000000</v>
      </c>
    </row>
    <row r="22" spans="1:5" s="17" customFormat="1" ht="30" customHeight="1" x14ac:dyDescent="0.25">
      <c r="A22" s="14">
        <v>4.0999999999999996</v>
      </c>
      <c r="B22" s="15" t="s">
        <v>23</v>
      </c>
      <c r="C22" s="14" t="s">
        <v>72</v>
      </c>
      <c r="D22" s="14" t="s">
        <v>73</v>
      </c>
      <c r="E22" s="16">
        <v>6000000</v>
      </c>
    </row>
    <row r="23" spans="1:5" s="17" customFormat="1" ht="30" customHeight="1" x14ac:dyDescent="0.25">
      <c r="A23" s="14">
        <v>4.2</v>
      </c>
      <c r="B23" s="14" t="s">
        <v>23</v>
      </c>
      <c r="C23" s="14" t="s">
        <v>74</v>
      </c>
      <c r="D23" s="14" t="s">
        <v>75</v>
      </c>
      <c r="E23" s="16">
        <v>7000000</v>
      </c>
    </row>
    <row r="24" spans="1:5" s="17" customFormat="1" ht="30" customHeight="1" x14ac:dyDescent="0.25">
      <c r="A24" s="14">
        <v>4.3</v>
      </c>
      <c r="B24" s="14" t="s">
        <v>23</v>
      </c>
      <c r="C24" s="14" t="s">
        <v>76</v>
      </c>
      <c r="D24" s="14" t="s">
        <v>77</v>
      </c>
      <c r="E24" s="16">
        <v>4000000</v>
      </c>
    </row>
    <row r="25" spans="1:5" s="17" customFormat="1" ht="30" customHeight="1" x14ac:dyDescent="0.25">
      <c r="A25" s="14">
        <v>4.4000000000000004</v>
      </c>
      <c r="B25" s="14" t="s">
        <v>23</v>
      </c>
      <c r="C25" s="14" t="s">
        <v>78</v>
      </c>
      <c r="D25" s="14" t="s">
        <v>79</v>
      </c>
      <c r="E25" s="16">
        <v>3000000</v>
      </c>
    </row>
    <row r="26" spans="1:5" s="17" customFormat="1" ht="30" customHeight="1" x14ac:dyDescent="0.25">
      <c r="A26" s="14">
        <v>5.0999999999999996</v>
      </c>
      <c r="B26" s="15" t="s">
        <v>24</v>
      </c>
      <c r="C26" s="14" t="s">
        <v>80</v>
      </c>
      <c r="D26" s="14" t="s">
        <v>81</v>
      </c>
      <c r="E26" s="16">
        <v>9000000</v>
      </c>
    </row>
    <row r="27" spans="1:5" s="17" customFormat="1" ht="30" customHeight="1" x14ac:dyDescent="0.25">
      <c r="A27" s="14">
        <v>5.2</v>
      </c>
      <c r="B27" s="14" t="s">
        <v>24</v>
      </c>
      <c r="C27" s="14" t="s">
        <v>82</v>
      </c>
      <c r="D27" s="14" t="s">
        <v>83</v>
      </c>
      <c r="E27" s="16">
        <v>6000000</v>
      </c>
    </row>
    <row r="28" spans="1:5" s="17" customFormat="1" ht="30" customHeight="1" x14ac:dyDescent="0.25">
      <c r="A28" s="14">
        <v>5.3</v>
      </c>
      <c r="B28" s="14" t="s">
        <v>24</v>
      </c>
      <c r="C28" s="14" t="s">
        <v>84</v>
      </c>
      <c r="D28" s="14" t="s">
        <v>85</v>
      </c>
      <c r="E28" s="16">
        <v>7000000</v>
      </c>
    </row>
    <row r="29" spans="1:5" s="17" customFormat="1" ht="30" customHeight="1" x14ac:dyDescent="0.25">
      <c r="A29" s="14">
        <v>5.4</v>
      </c>
      <c r="B29" s="14" t="s">
        <v>24</v>
      </c>
      <c r="C29" s="14" t="s">
        <v>86</v>
      </c>
      <c r="D29" s="14" t="s">
        <v>87</v>
      </c>
      <c r="E29" s="16">
        <v>4000000</v>
      </c>
    </row>
    <row r="30" spans="1:5" s="17" customFormat="1" ht="30" customHeight="1" x14ac:dyDescent="0.25">
      <c r="A30" s="14">
        <v>5.5</v>
      </c>
      <c r="B30" s="14" t="s">
        <v>24</v>
      </c>
      <c r="C30" s="14" t="s">
        <v>88</v>
      </c>
      <c r="D30" s="14" t="s">
        <v>89</v>
      </c>
      <c r="E30" s="16">
        <v>5000000</v>
      </c>
    </row>
    <row r="31" spans="1:5" s="17" customFormat="1" ht="30" customHeight="1" x14ac:dyDescent="0.25">
      <c r="A31" s="14">
        <v>6.1</v>
      </c>
      <c r="B31" s="15" t="s">
        <v>25</v>
      </c>
      <c r="C31" s="14" t="s">
        <v>90</v>
      </c>
      <c r="D31" s="14" t="s">
        <v>91</v>
      </c>
      <c r="E31" s="16">
        <v>10000000</v>
      </c>
    </row>
    <row r="32" spans="1:5" s="17" customFormat="1" ht="30" customHeight="1" x14ac:dyDescent="0.25">
      <c r="A32" s="14">
        <v>6.2</v>
      </c>
      <c r="B32" s="14" t="s">
        <v>25</v>
      </c>
      <c r="C32" s="14" t="s">
        <v>92</v>
      </c>
      <c r="D32" s="14" t="s">
        <v>93</v>
      </c>
      <c r="E32" s="16">
        <v>5000000</v>
      </c>
    </row>
    <row r="33" spans="1:5" s="17" customFormat="1" ht="30" customHeight="1" x14ac:dyDescent="0.25">
      <c r="A33" s="18"/>
      <c r="B33" s="18" t="s">
        <v>26</v>
      </c>
      <c r="C33" s="18"/>
      <c r="D33" s="18"/>
      <c r="E33" s="19">
        <f>SUM(E4:E32)</f>
        <v>170000000</v>
      </c>
    </row>
    <row r="34" spans="1:5" s="17" customFormat="1" ht="30" customHeight="1" x14ac:dyDescent="0.25">
      <c r="B34" s="17" t="s">
        <v>27</v>
      </c>
      <c r="E34" s="20">
        <f>E33*0.08</f>
        <v>13600000</v>
      </c>
    </row>
    <row r="35" spans="1:5" s="17" customFormat="1" ht="30" customHeight="1" x14ac:dyDescent="0.3">
      <c r="A35" s="21"/>
      <c r="B35" s="21" t="s">
        <v>28</v>
      </c>
      <c r="C35" s="21"/>
      <c r="D35" s="21"/>
      <c r="E35" s="22">
        <f>E33+E34</f>
        <v>183600000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8EB2-6E68-48C6-93F5-CE31A7E96235}">
  <dimension ref="A1:E12"/>
  <sheetViews>
    <sheetView topLeftCell="A10" workbookViewId="0">
      <selection sqref="A1:E1"/>
    </sheetView>
  </sheetViews>
  <sheetFormatPr defaultRowHeight="15" x14ac:dyDescent="0.25"/>
  <cols>
    <col min="1" max="1" width="10.7109375" customWidth="1"/>
    <col min="2" max="2" width="12.7109375" customWidth="1"/>
    <col min="3" max="3" width="35.7109375" customWidth="1"/>
    <col min="4" max="4" width="60.7109375" customWidth="1"/>
    <col min="5" max="5" width="20.7109375" customWidth="1"/>
  </cols>
  <sheetData>
    <row r="1" spans="1:5" ht="21" x14ac:dyDescent="0.35">
      <c r="A1" s="31" t="s">
        <v>94</v>
      </c>
      <c r="B1" s="31"/>
      <c r="C1" s="31"/>
      <c r="D1" s="31"/>
      <c r="E1" s="31"/>
    </row>
    <row r="3" spans="1:5" x14ac:dyDescent="0.25">
      <c r="A3" s="1" t="s">
        <v>95</v>
      </c>
      <c r="B3" s="1" t="s">
        <v>96</v>
      </c>
      <c r="C3" s="1" t="s">
        <v>97</v>
      </c>
      <c r="D3" s="1" t="s">
        <v>98</v>
      </c>
      <c r="E3" s="1" t="s">
        <v>99</v>
      </c>
    </row>
    <row r="4" spans="1:5" ht="90" customHeight="1" x14ac:dyDescent="0.25">
      <c r="A4" s="23" t="s">
        <v>100</v>
      </c>
      <c r="B4" s="23" t="s">
        <v>101</v>
      </c>
      <c r="C4" s="23" t="s">
        <v>102</v>
      </c>
      <c r="D4" s="23" t="s">
        <v>103</v>
      </c>
      <c r="E4" s="23" t="s">
        <v>104</v>
      </c>
    </row>
    <row r="5" spans="1:5" ht="90" customHeight="1" x14ac:dyDescent="0.25">
      <c r="A5" s="23" t="s">
        <v>105</v>
      </c>
      <c r="B5" s="23" t="s">
        <v>106</v>
      </c>
      <c r="C5" s="23" t="s">
        <v>107</v>
      </c>
      <c r="D5" s="23" t="s">
        <v>108</v>
      </c>
      <c r="E5" s="23" t="s">
        <v>109</v>
      </c>
    </row>
    <row r="6" spans="1:5" ht="90" customHeight="1" x14ac:dyDescent="0.25">
      <c r="A6" s="23" t="s">
        <v>110</v>
      </c>
      <c r="B6" s="23" t="s">
        <v>111</v>
      </c>
      <c r="C6" s="23" t="s">
        <v>112</v>
      </c>
      <c r="D6" s="23" t="s">
        <v>113</v>
      </c>
      <c r="E6" s="23" t="s">
        <v>114</v>
      </c>
    </row>
    <row r="7" spans="1:5" ht="90" customHeight="1" x14ac:dyDescent="0.25">
      <c r="A7" s="23" t="s">
        <v>115</v>
      </c>
      <c r="B7" s="23" t="s">
        <v>116</v>
      </c>
      <c r="C7" s="23" t="s">
        <v>117</v>
      </c>
      <c r="D7" s="23" t="s">
        <v>118</v>
      </c>
      <c r="E7" s="23" t="s">
        <v>109</v>
      </c>
    </row>
    <row r="8" spans="1:5" ht="90" customHeight="1" x14ac:dyDescent="0.25">
      <c r="A8" s="23" t="s">
        <v>119</v>
      </c>
      <c r="B8" s="23" t="s">
        <v>120</v>
      </c>
      <c r="C8" s="23" t="s">
        <v>121</v>
      </c>
      <c r="D8" s="23" t="s">
        <v>122</v>
      </c>
      <c r="E8" s="23" t="s">
        <v>123</v>
      </c>
    </row>
    <row r="9" spans="1:5" ht="90" customHeight="1" x14ac:dyDescent="0.25">
      <c r="A9" s="23" t="s">
        <v>124</v>
      </c>
      <c r="B9" s="23" t="s">
        <v>125</v>
      </c>
      <c r="C9" s="23" t="s">
        <v>126</v>
      </c>
      <c r="D9" s="23" t="s">
        <v>127</v>
      </c>
      <c r="E9" s="23" t="s">
        <v>109</v>
      </c>
    </row>
    <row r="10" spans="1:5" ht="90" customHeight="1" x14ac:dyDescent="0.25">
      <c r="A10" s="23" t="s">
        <v>128</v>
      </c>
      <c r="B10" s="23" t="s">
        <v>129</v>
      </c>
      <c r="C10" s="23" t="s">
        <v>130</v>
      </c>
      <c r="D10" s="23" t="s">
        <v>131</v>
      </c>
      <c r="E10" s="23" t="s">
        <v>132</v>
      </c>
    </row>
    <row r="12" spans="1:5" x14ac:dyDescent="0.25">
      <c r="A12" s="32" t="s">
        <v>133</v>
      </c>
      <c r="B12" s="32"/>
      <c r="C12" s="32"/>
      <c r="D12" s="32"/>
      <c r="E12" s="32"/>
    </row>
  </sheetData>
  <mergeCells count="2">
    <mergeCell ref="A1:E1"/>
    <mergeCell ref="A12:E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2B6C-51C1-4AF5-AC4C-D77AB52A0244}">
  <dimension ref="A1:B57"/>
  <sheetViews>
    <sheetView workbookViewId="0">
      <selection sqref="A1:B1"/>
    </sheetView>
  </sheetViews>
  <sheetFormatPr defaultRowHeight="15" x14ac:dyDescent="0.25"/>
  <cols>
    <col min="1" max="1" width="5.7109375" customWidth="1"/>
    <col min="2" max="2" width="110.7109375" customWidth="1"/>
  </cols>
  <sheetData>
    <row r="1" spans="1:2" ht="21" x14ac:dyDescent="0.35">
      <c r="A1" s="31" t="s">
        <v>134</v>
      </c>
      <c r="B1" s="31"/>
    </row>
    <row r="3" spans="1:2" x14ac:dyDescent="0.25">
      <c r="A3" s="33" t="s">
        <v>135</v>
      </c>
      <c r="B3" s="33"/>
    </row>
    <row r="4" spans="1:2" ht="21.95" customHeight="1" x14ac:dyDescent="0.25">
      <c r="A4" s="24" t="s">
        <v>136</v>
      </c>
      <c r="B4" s="17" t="s">
        <v>137</v>
      </c>
    </row>
    <row r="5" spans="1:2" ht="21.95" customHeight="1" x14ac:dyDescent="0.25">
      <c r="A5" s="24" t="s">
        <v>136</v>
      </c>
      <c r="B5" s="17" t="s">
        <v>138</v>
      </c>
    </row>
    <row r="6" spans="1:2" ht="21.95" customHeight="1" x14ac:dyDescent="0.25">
      <c r="A6" s="24" t="s">
        <v>136</v>
      </c>
      <c r="B6" s="17" t="s">
        <v>139</v>
      </c>
    </row>
    <row r="7" spans="1:2" ht="21.95" customHeight="1" x14ac:dyDescent="0.25">
      <c r="A7" s="24" t="s">
        <v>136</v>
      </c>
      <c r="B7" s="17" t="s">
        <v>140</v>
      </c>
    </row>
    <row r="8" spans="1:2" ht="21.95" customHeight="1" x14ac:dyDescent="0.25">
      <c r="A8" s="24" t="s">
        <v>136</v>
      </c>
      <c r="B8" s="17" t="s">
        <v>141</v>
      </c>
    </row>
    <row r="9" spans="1:2" ht="21.95" customHeight="1" x14ac:dyDescent="0.25">
      <c r="A9" s="24" t="s">
        <v>136</v>
      </c>
      <c r="B9" s="17" t="s">
        <v>142</v>
      </c>
    </row>
    <row r="10" spans="1:2" ht="21.95" customHeight="1" x14ac:dyDescent="0.25">
      <c r="A10" s="24" t="s">
        <v>136</v>
      </c>
      <c r="B10" s="17" t="s">
        <v>143</v>
      </c>
    </row>
    <row r="11" spans="1:2" ht="21.95" customHeight="1" x14ac:dyDescent="0.25">
      <c r="A11" s="24" t="s">
        <v>136</v>
      </c>
      <c r="B11" s="17" t="s">
        <v>144</v>
      </c>
    </row>
    <row r="12" spans="1:2" ht="21.95" customHeight="1" x14ac:dyDescent="0.25">
      <c r="A12" s="24" t="s">
        <v>136</v>
      </c>
      <c r="B12" s="17" t="s">
        <v>145</v>
      </c>
    </row>
    <row r="13" spans="1:2" ht="21.95" customHeight="1" x14ac:dyDescent="0.25">
      <c r="A13" s="24" t="s">
        <v>136</v>
      </c>
      <c r="B13" s="17" t="s">
        <v>146</v>
      </c>
    </row>
    <row r="14" spans="1:2" ht="21.95" customHeight="1" x14ac:dyDescent="0.25">
      <c r="A14" s="24" t="s">
        <v>136</v>
      </c>
      <c r="B14" s="17" t="s">
        <v>147</v>
      </c>
    </row>
    <row r="16" spans="1:2" x14ac:dyDescent="0.25">
      <c r="A16" s="33" t="s">
        <v>148</v>
      </c>
      <c r="B16" s="33"/>
    </row>
    <row r="17" spans="1:2" ht="21.95" customHeight="1" x14ac:dyDescent="0.25">
      <c r="A17" s="24" t="s">
        <v>136</v>
      </c>
      <c r="B17" s="17" t="s">
        <v>149</v>
      </c>
    </row>
    <row r="18" spans="1:2" ht="21.95" customHeight="1" x14ac:dyDescent="0.25">
      <c r="A18" s="24" t="s">
        <v>136</v>
      </c>
      <c r="B18" s="17" t="s">
        <v>150</v>
      </c>
    </row>
    <row r="19" spans="1:2" ht="21.95" customHeight="1" x14ac:dyDescent="0.25">
      <c r="A19" s="24" t="s">
        <v>136</v>
      </c>
      <c r="B19" s="17" t="s">
        <v>151</v>
      </c>
    </row>
    <row r="20" spans="1:2" ht="21.95" customHeight="1" x14ac:dyDescent="0.25">
      <c r="A20" s="24" t="s">
        <v>136</v>
      </c>
      <c r="B20" s="17" t="s">
        <v>152</v>
      </c>
    </row>
    <row r="21" spans="1:2" ht="21.95" customHeight="1" x14ac:dyDescent="0.25">
      <c r="A21" s="24" t="s">
        <v>136</v>
      </c>
      <c r="B21" s="17" t="s">
        <v>153</v>
      </c>
    </row>
    <row r="22" spans="1:2" ht="21.95" customHeight="1" x14ac:dyDescent="0.25">
      <c r="A22" s="24" t="s">
        <v>136</v>
      </c>
      <c r="B22" s="17" t="s">
        <v>154</v>
      </c>
    </row>
    <row r="23" spans="1:2" ht="21.95" customHeight="1" x14ac:dyDescent="0.25">
      <c r="A23" s="24" t="s">
        <v>136</v>
      </c>
      <c r="B23" s="17" t="s">
        <v>155</v>
      </c>
    </row>
    <row r="24" spans="1:2" ht="21.95" customHeight="1" x14ac:dyDescent="0.25">
      <c r="A24" s="24" t="s">
        <v>136</v>
      </c>
      <c r="B24" s="17" t="s">
        <v>156</v>
      </c>
    </row>
    <row r="25" spans="1:2" ht="21.95" customHeight="1" x14ac:dyDescent="0.25">
      <c r="A25" s="24" t="s">
        <v>136</v>
      </c>
      <c r="B25" s="17" t="s">
        <v>157</v>
      </c>
    </row>
    <row r="27" spans="1:2" x14ac:dyDescent="0.25">
      <c r="A27" s="33" t="s">
        <v>158</v>
      </c>
      <c r="B27" s="33"/>
    </row>
    <row r="28" spans="1:2" ht="21.95" customHeight="1" x14ac:dyDescent="0.25">
      <c r="A28" s="24" t="s">
        <v>136</v>
      </c>
      <c r="B28" s="17" t="s">
        <v>159</v>
      </c>
    </row>
    <row r="29" spans="1:2" ht="21.95" customHeight="1" x14ac:dyDescent="0.25">
      <c r="A29" s="24" t="s">
        <v>136</v>
      </c>
      <c r="B29" s="17" t="s">
        <v>160</v>
      </c>
    </row>
    <row r="30" spans="1:2" ht="21.95" customHeight="1" x14ac:dyDescent="0.25">
      <c r="A30" s="24" t="s">
        <v>136</v>
      </c>
      <c r="B30" s="17" t="s">
        <v>161</v>
      </c>
    </row>
    <row r="31" spans="1:2" ht="21.95" customHeight="1" x14ac:dyDescent="0.25">
      <c r="A31" s="24" t="s">
        <v>136</v>
      </c>
      <c r="B31" s="17" t="s">
        <v>162</v>
      </c>
    </row>
    <row r="32" spans="1:2" ht="21.95" customHeight="1" x14ac:dyDescent="0.25">
      <c r="A32" s="24" t="s">
        <v>136</v>
      </c>
      <c r="B32" s="17" t="s">
        <v>163</v>
      </c>
    </row>
    <row r="33" spans="1:2" ht="21.95" customHeight="1" x14ac:dyDescent="0.25">
      <c r="A33" s="24" t="s">
        <v>136</v>
      </c>
      <c r="B33" s="17" t="s">
        <v>164</v>
      </c>
    </row>
    <row r="34" spans="1:2" ht="21.95" customHeight="1" x14ac:dyDescent="0.25">
      <c r="A34" s="24" t="s">
        <v>136</v>
      </c>
      <c r="B34" s="17" t="s">
        <v>165</v>
      </c>
    </row>
    <row r="36" spans="1:2" x14ac:dyDescent="0.25">
      <c r="A36" s="33" t="s">
        <v>166</v>
      </c>
      <c r="B36" s="33"/>
    </row>
    <row r="37" spans="1:2" ht="21.95" customHeight="1" x14ac:dyDescent="0.25">
      <c r="A37" s="24" t="s">
        <v>136</v>
      </c>
      <c r="B37" s="17" t="s">
        <v>167</v>
      </c>
    </row>
    <row r="38" spans="1:2" ht="21.95" customHeight="1" x14ac:dyDescent="0.25">
      <c r="A38" s="24" t="s">
        <v>136</v>
      </c>
      <c r="B38" s="17" t="s">
        <v>168</v>
      </c>
    </row>
    <row r="39" spans="1:2" ht="21.95" customHeight="1" x14ac:dyDescent="0.25">
      <c r="A39" s="24" t="s">
        <v>136</v>
      </c>
      <c r="B39" s="17" t="s">
        <v>169</v>
      </c>
    </row>
    <row r="40" spans="1:2" ht="21.95" customHeight="1" x14ac:dyDescent="0.25">
      <c r="A40" s="24" t="s">
        <v>136</v>
      </c>
      <c r="B40" s="17" t="s">
        <v>170</v>
      </c>
    </row>
    <row r="41" spans="1:2" ht="21.95" customHeight="1" x14ac:dyDescent="0.25">
      <c r="A41" s="24" t="s">
        <v>136</v>
      </c>
      <c r="B41" s="17" t="s">
        <v>171</v>
      </c>
    </row>
    <row r="42" spans="1:2" ht="21.95" customHeight="1" x14ac:dyDescent="0.25">
      <c r="A42" s="24" t="s">
        <v>136</v>
      </c>
      <c r="B42" s="17" t="s">
        <v>172</v>
      </c>
    </row>
    <row r="44" spans="1:2" x14ac:dyDescent="0.25">
      <c r="A44" s="33" t="s">
        <v>173</v>
      </c>
      <c r="B44" s="33"/>
    </row>
    <row r="45" spans="1:2" ht="21.95" customHeight="1" x14ac:dyDescent="0.25">
      <c r="A45" s="24" t="s">
        <v>136</v>
      </c>
      <c r="B45" s="17" t="s">
        <v>174</v>
      </c>
    </row>
    <row r="46" spans="1:2" ht="21.95" customHeight="1" x14ac:dyDescent="0.25">
      <c r="A46" s="24" t="s">
        <v>136</v>
      </c>
      <c r="B46" s="17" t="s">
        <v>175</v>
      </c>
    </row>
    <row r="47" spans="1:2" ht="21.95" customHeight="1" x14ac:dyDescent="0.25">
      <c r="A47" s="24" t="s">
        <v>136</v>
      </c>
      <c r="B47" s="17" t="s">
        <v>176</v>
      </c>
    </row>
    <row r="48" spans="1:2" ht="21.95" customHeight="1" x14ac:dyDescent="0.25">
      <c r="A48" s="24" t="s">
        <v>136</v>
      </c>
      <c r="B48" s="17" t="s">
        <v>177</v>
      </c>
    </row>
    <row r="49" spans="1:2" ht="21.95" customHeight="1" x14ac:dyDescent="0.25">
      <c r="A49" s="24" t="s">
        <v>136</v>
      </c>
      <c r="B49" s="17" t="s">
        <v>178</v>
      </c>
    </row>
    <row r="51" spans="1:2" x14ac:dyDescent="0.25">
      <c r="A51" s="33" t="s">
        <v>179</v>
      </c>
      <c r="B51" s="33"/>
    </row>
    <row r="52" spans="1:2" ht="21.95" customHeight="1" x14ac:dyDescent="0.25">
      <c r="A52" s="24" t="s">
        <v>136</v>
      </c>
      <c r="B52" s="17" t="s">
        <v>180</v>
      </c>
    </row>
    <row r="53" spans="1:2" ht="21.95" customHeight="1" x14ac:dyDescent="0.25">
      <c r="A53" s="24" t="s">
        <v>136</v>
      </c>
      <c r="B53" s="17" t="s">
        <v>181</v>
      </c>
    </row>
    <row r="54" spans="1:2" ht="21.95" customHeight="1" x14ac:dyDescent="0.25">
      <c r="A54" s="24" t="s">
        <v>136</v>
      </c>
      <c r="B54" s="17" t="s">
        <v>182</v>
      </c>
    </row>
    <row r="55" spans="1:2" ht="21.95" customHeight="1" x14ac:dyDescent="0.25">
      <c r="A55" s="24" t="s">
        <v>136</v>
      </c>
      <c r="B55" s="17" t="s">
        <v>183</v>
      </c>
    </row>
    <row r="56" spans="1:2" ht="21.95" customHeight="1" x14ac:dyDescent="0.25">
      <c r="A56" s="24" t="s">
        <v>136</v>
      </c>
      <c r="B56" s="17" t="s">
        <v>184</v>
      </c>
    </row>
    <row r="57" spans="1:2" ht="21.95" customHeight="1" x14ac:dyDescent="0.25">
      <c r="A57" s="24" t="s">
        <v>136</v>
      </c>
      <c r="B57" s="17" t="s">
        <v>185</v>
      </c>
    </row>
  </sheetData>
  <mergeCells count="7">
    <mergeCell ref="A51:B51"/>
    <mergeCell ref="A1:B1"/>
    <mergeCell ref="A3:B3"/>
    <mergeCell ref="A16:B16"/>
    <mergeCell ref="A27:B27"/>
    <mergeCell ref="A36:B36"/>
    <mergeCell ref="A44:B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Tổng Quan</vt:lpstr>
      <vt:lpstr>Chi Tiết Báo Giá</vt:lpstr>
      <vt:lpstr>Phân Pha Triển Khai</vt:lpstr>
      <vt:lpstr>Điều Khoản &amp; Giả Định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nhân nguyễn thành</dc:creator>
  <cp:lastModifiedBy>nhân nguyễn thành</cp:lastModifiedBy>
  <dcterms:created xsi:type="dcterms:W3CDTF">2026-05-11T14:33:27Z</dcterms:created>
  <dcterms:modified xsi:type="dcterms:W3CDTF">2026-05-11T14:42:26Z</dcterms:modified>
</cp:coreProperties>
</file>